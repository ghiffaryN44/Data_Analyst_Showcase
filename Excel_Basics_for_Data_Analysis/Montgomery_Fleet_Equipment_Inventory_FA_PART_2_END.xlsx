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ra\IBM\IBM_Data_Analyst\Excel_Basics_fo_ Data_Analysis\final_project\"/>
    </mc:Choice>
  </mc:AlternateContent>
  <xr:revisionPtr revIDLastSave="0" documentId="13_ncr:1_{D2D40C7E-9B5C-4324-A189-FC02D9321E2D}" xr6:coauthVersionLast="47" xr6:coauthVersionMax="47" xr10:uidLastSave="{00000000-0000-0000-0000-000000000000}"/>
  <bookViews>
    <workbookView xWindow="14400" yWindow="0" windowWidth="14400" windowHeight="15600" firstSheet="1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4" i="1"/>
  <c r="G3" i="1"/>
  <c r="G2" i="1"/>
  <c r="G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<sst xmlns="http://schemas.openxmlformats.org/spreadsheetml/2006/main" count="165" uniqueCount="37">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</sst>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44.810789699077" createdVersion="8" refreshedVersion="8" minRefreshableVersion="3" recordCount="49" xr:uid="{05438945-D1A4-446A-B337-00112DD560DB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 pivotCacheId="8557142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F13C7E-BB85-4796-8E7D-1DE25F73E92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3E5D8-256E-4192-8E2A-01321D36A7D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27E0F-DBBD-48E2-B521-7CC23B87A6DC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0"/>
    </i>
    <i r="1">
      <x v="1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4CB0E-76BA-4B8A-A2E8-299E38E5FB7B}" name="Table1" displayName="Table1" ref="A1:C50" totalsRowShown="0">
  <autoFilter ref="A1:C50" xr:uid="{C6A4CB0E-76BA-4B8A-A2E8-299E38E5FB7B}"/>
  <tableColumns count="3">
    <tableColumn id="1" xr3:uid="{FF4CC019-DD98-4419-A2D0-C4B0C7CF05D2}" name="Department"/>
    <tableColumn id="2" xr3:uid="{F6EC2C77-ACA4-4A2D-8FC9-838000D5EE3E}" name="Equipment Class"/>
    <tableColumn id="3" xr3:uid="{354FA9E9-FFD0-4B9B-84AB-21A9971664EC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2" workbookViewId="0">
      <selection activeCell="A2" sqref="A2:C50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8.5703125" customWidth="1"/>
    <col min="6" max="6" width="9.285156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F1" t="s">
        <v>29</v>
      </c>
      <c r="G1">
        <f>SUM(Table1[Equipment Count])</f>
        <v>1582</v>
      </c>
    </row>
    <row r="2" spans="1:7" x14ac:dyDescent="0.25">
      <c r="A2" t="s">
        <v>5</v>
      </c>
      <c r="B2" t="s">
        <v>6</v>
      </c>
      <c r="C2">
        <v>21</v>
      </c>
      <c r="F2" t="s">
        <v>30</v>
      </c>
      <c r="G2">
        <f>AVERAGE(Table1[Equipment Count])</f>
        <v>32.285714285714285</v>
      </c>
    </row>
    <row r="3" spans="1:7" x14ac:dyDescent="0.25">
      <c r="A3" t="s">
        <v>5</v>
      </c>
      <c r="B3" t="s">
        <v>7</v>
      </c>
      <c r="C3">
        <v>1</v>
      </c>
      <c r="F3" t="s">
        <v>31</v>
      </c>
      <c r="G3">
        <f>MIN(Table1[Equipment Count])</f>
        <v>1</v>
      </c>
    </row>
    <row r="4" spans="1:7" x14ac:dyDescent="0.25">
      <c r="A4" t="s">
        <v>5</v>
      </c>
      <c r="B4" t="s">
        <v>4</v>
      </c>
      <c r="C4">
        <v>23</v>
      </c>
      <c r="F4" t="s">
        <v>32</v>
      </c>
      <c r="G4">
        <f>MAX(Table1[Equipment Count])</f>
        <v>379</v>
      </c>
    </row>
    <row r="5" spans="1:7" x14ac:dyDescent="0.25">
      <c r="A5" t="s">
        <v>8</v>
      </c>
      <c r="B5" t="s">
        <v>4</v>
      </c>
      <c r="C5">
        <v>2</v>
      </c>
      <c r="F5" t="s">
        <v>33</v>
      </c>
      <c r="G5">
        <f>COUNT(Table1[Equipment Count])</f>
        <v>49</v>
      </c>
    </row>
    <row r="6" spans="1:7" x14ac:dyDescent="0.25">
      <c r="A6" t="s">
        <v>9</v>
      </c>
      <c r="B6" t="s">
        <v>6</v>
      </c>
      <c r="C6">
        <v>3</v>
      </c>
    </row>
    <row r="7" spans="1:7" x14ac:dyDescent="0.25">
      <c r="A7" t="s">
        <v>9</v>
      </c>
      <c r="B7" t="s">
        <v>10</v>
      </c>
      <c r="C7">
        <v>2</v>
      </c>
    </row>
    <row r="8" spans="1:7" x14ac:dyDescent="0.25">
      <c r="A8" t="s">
        <v>9</v>
      </c>
      <c r="B8" t="s">
        <v>11</v>
      </c>
      <c r="C8">
        <v>1</v>
      </c>
    </row>
    <row r="9" spans="1:7" x14ac:dyDescent="0.25">
      <c r="A9" t="s">
        <v>12</v>
      </c>
      <c r="B9" t="s">
        <v>10</v>
      </c>
      <c r="C9">
        <v>2</v>
      </c>
    </row>
    <row r="10" spans="1:7" x14ac:dyDescent="0.25">
      <c r="A10" t="s">
        <v>12</v>
      </c>
      <c r="B10" t="s">
        <v>13</v>
      </c>
      <c r="C10">
        <v>42</v>
      </c>
    </row>
    <row r="11" spans="1:7" x14ac:dyDescent="0.25">
      <c r="A11" t="s">
        <v>12</v>
      </c>
      <c r="B11" t="s">
        <v>7</v>
      </c>
      <c r="C11">
        <v>1</v>
      </c>
    </row>
    <row r="12" spans="1:7" x14ac:dyDescent="0.25">
      <c r="A12" t="s">
        <v>12</v>
      </c>
      <c r="B12" t="s">
        <v>4</v>
      </c>
      <c r="C12">
        <v>11</v>
      </c>
    </row>
    <row r="13" spans="1:7" x14ac:dyDescent="0.25">
      <c r="A13" t="s">
        <v>14</v>
      </c>
      <c r="B13" t="s">
        <v>7</v>
      </c>
      <c r="C13">
        <v>1</v>
      </c>
    </row>
    <row r="14" spans="1:7" x14ac:dyDescent="0.25">
      <c r="A14" t="s">
        <v>15</v>
      </c>
      <c r="B14" t="s">
        <v>16</v>
      </c>
      <c r="C14">
        <v>9</v>
      </c>
    </row>
    <row r="15" spans="1:7" x14ac:dyDescent="0.25">
      <c r="A15" t="s">
        <v>15</v>
      </c>
      <c r="B15" t="s">
        <v>7</v>
      </c>
      <c r="C15">
        <v>27</v>
      </c>
    </row>
    <row r="16" spans="1:7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D53A-768B-4378-809C-4A70091E9D0A}">
  <dimension ref="A3:B16"/>
  <sheetViews>
    <sheetView workbookViewId="0">
      <selection activeCell="B23" sqref="B2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0</v>
      </c>
      <c r="B3" t="s">
        <v>35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15</v>
      </c>
      <c r="B5" s="3">
        <v>109</v>
      </c>
    </row>
    <row r="6" spans="1:2" x14ac:dyDescent="0.25">
      <c r="A6" s="2" t="s">
        <v>19</v>
      </c>
      <c r="B6" s="3">
        <v>85</v>
      </c>
    </row>
    <row r="7" spans="1:2" x14ac:dyDescent="0.25">
      <c r="A7" s="2" t="s">
        <v>12</v>
      </c>
      <c r="B7" s="3">
        <v>56</v>
      </c>
    </row>
    <row r="8" spans="1:2" x14ac:dyDescent="0.25">
      <c r="A8" s="2" t="s">
        <v>5</v>
      </c>
      <c r="B8" s="3">
        <v>45</v>
      </c>
    </row>
    <row r="9" spans="1:2" x14ac:dyDescent="0.25">
      <c r="A9" s="2" t="s">
        <v>18</v>
      </c>
      <c r="B9" s="3">
        <v>35</v>
      </c>
    </row>
    <row r="10" spans="1:2" x14ac:dyDescent="0.25">
      <c r="A10" s="2" t="s">
        <v>25</v>
      </c>
      <c r="B10" s="3">
        <v>16</v>
      </c>
    </row>
    <row r="11" spans="1:2" x14ac:dyDescent="0.25">
      <c r="A11" s="2" t="s">
        <v>9</v>
      </c>
      <c r="B11" s="3">
        <v>6</v>
      </c>
    </row>
    <row r="12" spans="1:2" x14ac:dyDescent="0.25">
      <c r="A12" s="2" t="s">
        <v>24</v>
      </c>
      <c r="B12" s="3">
        <v>5</v>
      </c>
    </row>
    <row r="13" spans="1:2" x14ac:dyDescent="0.25">
      <c r="A13" s="2" t="s">
        <v>8</v>
      </c>
      <c r="B13" s="3">
        <v>2</v>
      </c>
    </row>
    <row r="14" spans="1:2" x14ac:dyDescent="0.25">
      <c r="A14" s="2" t="s">
        <v>14</v>
      </c>
      <c r="B14" s="3">
        <v>1</v>
      </c>
    </row>
    <row r="15" spans="1:2" x14ac:dyDescent="0.25">
      <c r="A15" s="2" t="s">
        <v>17</v>
      </c>
      <c r="B15" s="3">
        <v>1</v>
      </c>
    </row>
    <row r="16" spans="1:2" x14ac:dyDescent="0.25">
      <c r="A16" s="2" t="s">
        <v>36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AFCE-103C-4CD6-8B8E-D3B118DD8E1A}">
  <dimension ref="A3:B25"/>
  <sheetViews>
    <sheetView workbookViewId="0">
      <selection activeCell="E19" sqref="E19"/>
    </sheetView>
  </sheetViews>
  <sheetFormatPr defaultRowHeight="15" x14ac:dyDescent="0.25"/>
  <cols>
    <col min="1" max="1" width="31.28515625" bestFit="1" customWidth="1"/>
    <col min="2" max="2" width="23.42578125" bestFit="1" customWidth="1"/>
  </cols>
  <sheetData>
    <row r="3" spans="1:2" x14ac:dyDescent="0.25">
      <c r="A3" s="1" t="s">
        <v>0</v>
      </c>
      <c r="B3" t="s">
        <v>35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15</v>
      </c>
      <c r="B14" s="3">
        <v>109</v>
      </c>
    </row>
    <row r="15" spans="1:2" x14ac:dyDescent="0.25">
      <c r="A15" s="2" t="s">
        <v>19</v>
      </c>
      <c r="B15" s="3">
        <v>85</v>
      </c>
    </row>
    <row r="16" spans="1:2" x14ac:dyDescent="0.25">
      <c r="A16" s="2" t="s">
        <v>12</v>
      </c>
      <c r="B16" s="3">
        <v>56</v>
      </c>
    </row>
    <row r="17" spans="1:2" x14ac:dyDescent="0.25">
      <c r="A17" s="2" t="s">
        <v>5</v>
      </c>
      <c r="B17" s="3">
        <v>45</v>
      </c>
    </row>
    <row r="18" spans="1:2" x14ac:dyDescent="0.25">
      <c r="A18" s="2" t="s">
        <v>18</v>
      </c>
      <c r="B18" s="3">
        <v>35</v>
      </c>
    </row>
    <row r="19" spans="1:2" x14ac:dyDescent="0.25">
      <c r="A19" s="2" t="s">
        <v>25</v>
      </c>
      <c r="B19" s="3">
        <v>16</v>
      </c>
    </row>
    <row r="20" spans="1:2" x14ac:dyDescent="0.25">
      <c r="A20" s="2" t="s">
        <v>9</v>
      </c>
      <c r="B20" s="3">
        <v>6</v>
      </c>
    </row>
    <row r="21" spans="1:2" x14ac:dyDescent="0.25">
      <c r="A21" s="2" t="s">
        <v>24</v>
      </c>
      <c r="B21" s="3">
        <v>5</v>
      </c>
    </row>
    <row r="22" spans="1:2" x14ac:dyDescent="0.25">
      <c r="A22" s="2" t="s">
        <v>8</v>
      </c>
      <c r="B22" s="3">
        <v>2</v>
      </c>
    </row>
    <row r="23" spans="1:2" x14ac:dyDescent="0.25">
      <c r="A23" s="2" t="s">
        <v>14</v>
      </c>
      <c r="B23" s="3">
        <v>1</v>
      </c>
    </row>
    <row r="24" spans="1:2" x14ac:dyDescent="0.25">
      <c r="A24" s="2" t="s">
        <v>17</v>
      </c>
      <c r="B24" s="3">
        <v>1</v>
      </c>
    </row>
    <row r="25" spans="1:2" x14ac:dyDescent="0.25">
      <c r="A25" s="2" t="s">
        <v>36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1222-EA43-4389-87E8-C207E0B4E44E}">
  <dimension ref="A3:B21"/>
  <sheetViews>
    <sheetView tabSelected="1" workbookViewId="0">
      <selection activeCell="D4" sqref="D4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35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15</v>
      </c>
      <c r="B5" s="3">
        <v>9</v>
      </c>
    </row>
    <row r="6" spans="1:2" x14ac:dyDescent="0.25">
      <c r="A6" s="4" t="s">
        <v>25</v>
      </c>
      <c r="B6" s="3">
        <v>1</v>
      </c>
    </row>
    <row r="7" spans="1:2" x14ac:dyDescent="0.25">
      <c r="A7" s="4" t="s">
        <v>26</v>
      </c>
      <c r="B7" s="3">
        <v>5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36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2020-09-01T17:18:12Z</dcterms:created>
  <dcterms:modified xsi:type="dcterms:W3CDTF">2026-08-10T12:43:38Z</dcterms:modified>
</cp:coreProperties>
</file>